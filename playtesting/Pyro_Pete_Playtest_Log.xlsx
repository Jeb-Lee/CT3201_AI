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test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<sst xmlns="http://schemas.openxmlformats.org/spreadsheetml/2006/main" count="84" uniqueCount="51">
  <si>
    <t xml:space="preserve">Pyro Pete: Emergency Evacuation — Human vs AI Playtest Log</t>
  </si>
  <si>
    <t xml:space="preserve">Log one row per run. Copy the numbers straight off the "Run complete" results panel in-game. Rows 4-5 (yellow) are real example runs already played — add your own runs starting at row 6. Winner: type exactly what the verdict line says (You / AI / Tie).</t>
  </si>
  <si>
    <t xml:space="preserve">Run #</t>
  </si>
  <si>
    <t xml:space="preserve">Date</t>
  </si>
  <si>
    <t xml:space="preserve">Winner</t>
  </si>
  <si>
    <t xml:space="preserve">You: Victims Saved</t>
  </si>
  <si>
    <t xml:space="preserve">You: Time (s)</t>
  </si>
  <si>
    <t xml:space="preserve">You: Distance (tiles)</t>
  </si>
  <si>
    <t xml:space="preserve">You: Damage Taken</t>
  </si>
  <si>
    <t xml:space="preserve">You: Finished (exit/dead)</t>
  </si>
  <si>
    <t xml:space="preserve">AI: Victims Saved</t>
  </si>
  <si>
    <t xml:space="preserve">AI: Time (s)</t>
  </si>
  <si>
    <t xml:space="preserve">AI: Distance (tiles)</t>
  </si>
  <si>
    <t xml:space="preserve">AI: Damage Taken</t>
  </si>
  <si>
    <t xml:space="preserve">AI: Route Updates</t>
  </si>
  <si>
    <t xml:space="preserve">AI: Goal Switches</t>
  </si>
  <si>
    <t xml:space="preserve">AI: Finished (exit/dead/still searching)</t>
  </si>
  <si>
    <t xml:space="preserve">Notes (bugs, observations)</t>
  </si>
  <si>
    <t xml:space="preserve">2026-08-30</t>
  </si>
  <si>
    <t xml:space="preserve">You</t>
  </si>
  <si>
    <t xml:space="preserve">exit</t>
  </si>
  <si>
    <t xml:space="preserve">still searching</t>
  </si>
  <si>
    <t xml:space="preserve">Rushed exit-focused; AI still mid-search when I exited.</t>
  </si>
  <si>
    <t xml:space="preserve">AI</t>
  </si>
  <si>
    <t xml:space="preserve">I beelined for the exit without rescuing anyone; AI had already saved 2.</t>
  </si>
  <si>
    <t xml:space="preserve">AI reached exit ahead of me and saved all 3; I took heavy fire damage (45).</t>
  </si>
  <si>
    <t xml:space="preserve">dead</t>
  </si>
  <si>
    <t xml:space="preserve">AI died to hazards (100 dmg) before finishing; I survived with 50 dmg taken.</t>
  </si>
  <si>
    <t xml:space="preserve">AI had already saved all 3 victims but hadn't reached the exit when I did -- run ended with AI mid-route back.</t>
  </si>
  <si>
    <t xml:space="preserve">Tie</t>
  </si>
  <si>
    <t xml:space="preserve">Summary</t>
  </si>
  <si>
    <t xml:space="preserve">Auto-calculated from every filled-in row on the Playtest Log sheet.</t>
  </si>
  <si>
    <t xml:space="preserve">Metric</t>
  </si>
  <si>
    <t xml:space="preserve">Value</t>
  </si>
  <si>
    <t xml:space="preserve">Runs logged</t>
  </si>
  <si>
    <t xml:space="preserve">Wins — You</t>
  </si>
  <si>
    <t xml:space="preserve">Wins — AI</t>
  </si>
  <si>
    <t xml:space="preserve">Ties</t>
  </si>
  <si>
    <t xml:space="preserve">Avg victims saved — You</t>
  </si>
  <si>
    <t xml:space="preserve">Avg victims saved — AI</t>
  </si>
  <si>
    <t xml:space="preserve">Avg time (s) — You</t>
  </si>
  <si>
    <t xml:space="preserve">Avg time (s) — AI</t>
  </si>
  <si>
    <t xml:space="preserve">Avg distance (tiles) — You</t>
  </si>
  <si>
    <t xml:space="preserve">Avg distance (tiles) — AI</t>
  </si>
  <si>
    <t xml:space="preserve">Avg damage taken — You</t>
  </si>
  <si>
    <t xml:space="preserve">Avg damage taken — AI</t>
  </si>
  <si>
    <t xml:space="preserve">Avg AI route updates</t>
  </si>
  <si>
    <t xml:space="preserve">Avg AI goal switches</t>
  </si>
  <si>
    <t xml:space="preserve">Runs where AI died</t>
  </si>
  <si>
    <t xml:space="preserve">Runs where you died</t>
  </si>
  <si>
    <t xml:space="preserve">"Wins" is read from the Winner column you type in (You/AI/Tie) — copy it from the verdict line on the results panel, e.g. "You rescued more than the AI." → You.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</si>
</sst>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F1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2B33"/>
        <bgColor rgb="FF333333"/>
      </patternFill>
    </fill>
    <fill>
      <patternFill patternType="solid">
        <fgColor rgb="FFFFF6CC"/>
        <bgColor rgb="FFFFFFFF"/>
      </patternFill>
    </fill>
    <fill>
      <patternFill patternType="solid">
        <fgColor rgb="FFFFFFFF"/>
        <bgColor rgb="FFFFF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6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F1F1F"/>
      <rgbColor rgb="FF2B2B3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15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7"/>
    <col collapsed="false" customWidth="true" hidden="false" outlineLevel="0" max="9" min="9" style="1" width="14"/>
    <col collapsed="false" customWidth="true" hidden="false" outlineLevel="0" max="10" min="10" style="1" width="11"/>
    <col collapsed="false" customWidth="true" hidden="false" outlineLevel="0" max="11" min="11" style="1" width="16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22"/>
    <col collapsed="false" customWidth="true" hidden="false" outlineLevel="0" max="16" min="16" style="1" width="3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customFormat="false" ht="23.25" hidden="false" customHeight="true" outlineLevel="0" collapsed="false">
      <c r="A4" s="5" t="n">
        <v>1</v>
      </c>
      <c r="B4" s="5" t="s">
        <v>18</v>
      </c>
      <c r="C4" s="5" t="s">
        <v>19</v>
      </c>
      <c r="D4" s="5" t="n">
        <v>1</v>
      </c>
      <c r="E4" s="5" t="n">
        <v>17.9</v>
      </c>
      <c r="F4" s="5" t="n">
        <v>37.1</v>
      </c>
      <c r="G4" s="5" t="n">
        <v>0</v>
      </c>
      <c r="H4" s="5" t="s">
        <v>20</v>
      </c>
      <c r="I4" s="5" t="n">
        <v>0</v>
      </c>
      <c r="J4" s="5" t="n">
        <v>17.9</v>
      </c>
      <c r="K4" s="5" t="n">
        <v>45</v>
      </c>
      <c r="L4" s="5" t="n">
        <v>8</v>
      </c>
      <c r="M4" s="5" t="n">
        <v>45</v>
      </c>
      <c r="N4" s="5" t="n">
        <v>24</v>
      </c>
      <c r="O4" s="5" t="s">
        <v>21</v>
      </c>
      <c r="P4" s="6" t="s">
        <v>22</v>
      </c>
    </row>
    <row r="5" customFormat="false" ht="23.25" hidden="false" customHeight="true" outlineLevel="0" collapsed="false">
      <c r="A5" s="5" t="n">
        <v>2</v>
      </c>
      <c r="B5" s="5" t="s">
        <v>18</v>
      </c>
      <c r="C5" s="5" t="s">
        <v>23</v>
      </c>
      <c r="D5" s="5" t="n">
        <v>0</v>
      </c>
      <c r="E5" s="5" t="n">
        <v>31.7</v>
      </c>
      <c r="F5" s="5" t="n">
        <v>63.5</v>
      </c>
      <c r="G5" s="5" t="n">
        <v>0</v>
      </c>
      <c r="H5" s="5" t="s">
        <v>20</v>
      </c>
      <c r="I5" s="5" t="n">
        <v>2</v>
      </c>
      <c r="J5" s="5" t="n">
        <v>31.7</v>
      </c>
      <c r="K5" s="5" t="n">
        <v>81.3</v>
      </c>
      <c r="L5" s="5" t="n">
        <v>0</v>
      </c>
      <c r="M5" s="5" t="n">
        <v>83</v>
      </c>
      <c r="N5" s="5" t="n">
        <v>31</v>
      </c>
      <c r="O5" s="5" t="s">
        <v>21</v>
      </c>
      <c r="P5" s="6" t="s">
        <v>24</v>
      </c>
    </row>
    <row r="6" customFormat="false" ht="15" hidden="false" customHeight="true" outlineLevel="0" collapsed="false">
      <c r="A6" s="7" t="n">
        <f aca="false">IF(C6="","",ROW()-3)</f>
        <v>3</v>
      </c>
      <c r="B6" s="7" t="s">
        <v>18</v>
      </c>
      <c r="C6" s="7" t="s">
        <v>23</v>
      </c>
      <c r="D6" s="7" t="n">
        <v>0</v>
      </c>
      <c r="E6" s="7" t="n">
        <v>36.4</v>
      </c>
      <c r="F6" s="7" t="n">
        <v>77.2</v>
      </c>
      <c r="G6" s="7" t="n">
        <v>45</v>
      </c>
      <c r="H6" s="7" t="s">
        <v>20</v>
      </c>
      <c r="I6" s="7" t="n">
        <v>3</v>
      </c>
      <c r="J6" s="7" t="n">
        <v>30.9</v>
      </c>
      <c r="K6" s="7" t="n">
        <v>78.7</v>
      </c>
      <c r="L6" s="7" t="n">
        <v>17</v>
      </c>
      <c r="M6" s="7" t="n">
        <v>81</v>
      </c>
      <c r="N6" s="7" t="n">
        <v>38</v>
      </c>
      <c r="O6" s="7" t="s">
        <v>20</v>
      </c>
      <c r="P6" s="7" t="s">
        <v>25</v>
      </c>
    </row>
    <row r="7" customFormat="false" ht="15" hidden="false" customHeight="true" outlineLevel="0" collapsed="false">
      <c r="A7" s="7" t="n">
        <f aca="false">IF(C7="","",ROW()-3)</f>
        <v>4</v>
      </c>
      <c r="B7" s="7" t="s">
        <v>18</v>
      </c>
      <c r="C7" s="7" t="s">
        <v>19</v>
      </c>
      <c r="D7" s="7" t="n">
        <v>1</v>
      </c>
      <c r="E7" s="7" t="n">
        <v>26</v>
      </c>
      <c r="F7" s="7" t="n">
        <v>53.1</v>
      </c>
      <c r="G7" s="7" t="n">
        <v>0</v>
      </c>
      <c r="H7" s="7" t="s">
        <v>20</v>
      </c>
      <c r="I7" s="7" t="n">
        <v>0</v>
      </c>
      <c r="J7" s="7" t="n">
        <v>26</v>
      </c>
      <c r="K7" s="7" t="n">
        <v>66.8</v>
      </c>
      <c r="L7" s="7" t="n">
        <v>0</v>
      </c>
      <c r="M7" s="7" t="n">
        <v>68</v>
      </c>
      <c r="N7" s="7" t="n">
        <v>34</v>
      </c>
      <c r="O7" s="7" t="s">
        <v>21</v>
      </c>
      <c r="P7" s="7"/>
    </row>
    <row r="8" customFormat="false" ht="15" hidden="false" customHeight="true" outlineLevel="0" collapsed="false">
      <c r="A8" s="7" t="n">
        <f aca="false">IF(C8="","",ROW()-3)</f>
        <v>5</v>
      </c>
      <c r="B8" s="7" t="s">
        <v>18</v>
      </c>
      <c r="C8" s="7" t="s">
        <v>19</v>
      </c>
      <c r="D8" s="7" t="n">
        <v>2</v>
      </c>
      <c r="E8" s="7" t="n">
        <v>16.2</v>
      </c>
      <c r="F8" s="7" t="n">
        <v>33.6</v>
      </c>
      <c r="G8" s="7" t="n">
        <v>0</v>
      </c>
      <c r="H8" s="7" t="s">
        <v>20</v>
      </c>
      <c r="I8" s="7" t="n">
        <v>0</v>
      </c>
      <c r="J8" s="7" t="n">
        <v>16.2</v>
      </c>
      <c r="K8" s="7" t="n">
        <v>41.5</v>
      </c>
      <c r="L8" s="7" t="n">
        <v>0</v>
      </c>
      <c r="M8" s="7" t="n">
        <v>42</v>
      </c>
      <c r="N8" s="7" t="n">
        <v>24</v>
      </c>
      <c r="O8" s="7" t="s">
        <v>21</v>
      </c>
      <c r="P8" s="7"/>
    </row>
    <row r="9" customFormat="false" ht="15" hidden="false" customHeight="true" outlineLevel="0" collapsed="false">
      <c r="A9" s="7" t="n">
        <f aca="false">IF(C9="","",ROW()-3)</f>
        <v>6</v>
      </c>
      <c r="B9" s="7" t="s">
        <v>18</v>
      </c>
      <c r="C9" s="7" t="s">
        <v>19</v>
      </c>
      <c r="D9" s="7" t="n">
        <v>1</v>
      </c>
      <c r="E9" s="7" t="n">
        <v>40.1</v>
      </c>
      <c r="F9" s="7" t="n">
        <v>84.3</v>
      </c>
      <c r="G9" s="7" t="n">
        <v>50</v>
      </c>
      <c r="H9" s="7" t="s">
        <v>20</v>
      </c>
      <c r="I9" s="7" t="n">
        <v>0</v>
      </c>
      <c r="J9" s="7" t="n">
        <v>37.9</v>
      </c>
      <c r="K9" s="7" t="n">
        <v>89.2</v>
      </c>
      <c r="L9" s="7" t="n">
        <v>100</v>
      </c>
      <c r="M9" s="7" t="n">
        <v>95</v>
      </c>
      <c r="N9" s="7" t="n">
        <v>38</v>
      </c>
      <c r="O9" s="7" t="s">
        <v>26</v>
      </c>
      <c r="P9" s="7" t="s">
        <v>27</v>
      </c>
    </row>
    <row r="10" customFormat="false" ht="15" hidden="false" customHeight="true" outlineLevel="0" collapsed="false">
      <c r="A10" s="7" t="n">
        <f aca="false">IF(C10="","",ROW()-3)</f>
        <v>7</v>
      </c>
      <c r="B10" s="7" t="s">
        <v>18</v>
      </c>
      <c r="C10" s="7" t="s">
        <v>23</v>
      </c>
      <c r="D10" s="7" t="n">
        <v>0</v>
      </c>
      <c r="E10" s="7" t="n">
        <v>17.3</v>
      </c>
      <c r="F10" s="7" t="n">
        <v>39.1</v>
      </c>
      <c r="G10" s="7" t="n">
        <v>0</v>
      </c>
      <c r="H10" s="7" t="s">
        <v>20</v>
      </c>
      <c r="I10" s="7" t="n">
        <v>2</v>
      </c>
      <c r="J10" s="7" t="n">
        <v>17.3</v>
      </c>
      <c r="K10" s="7" t="n">
        <v>44.3</v>
      </c>
      <c r="L10" s="7" t="n">
        <v>0</v>
      </c>
      <c r="M10" s="7" t="n">
        <v>46</v>
      </c>
      <c r="N10" s="7" t="n">
        <v>29</v>
      </c>
      <c r="O10" s="7" t="s">
        <v>21</v>
      </c>
      <c r="P10" s="7"/>
    </row>
    <row r="11" customFormat="false" ht="15" hidden="false" customHeight="true" outlineLevel="0" collapsed="false">
      <c r="A11" s="7" t="n">
        <f aca="false">IF(C11="","",ROW()-3)</f>
        <v>8</v>
      </c>
      <c r="B11" s="7" t="s">
        <v>18</v>
      </c>
      <c r="C11" s="7" t="s">
        <v>23</v>
      </c>
      <c r="D11" s="7" t="n">
        <v>0</v>
      </c>
      <c r="E11" s="7" t="n">
        <v>25.4</v>
      </c>
      <c r="F11" s="7" t="n">
        <v>48.6</v>
      </c>
      <c r="G11" s="7" t="n">
        <v>0</v>
      </c>
      <c r="H11" s="7" t="s">
        <v>20</v>
      </c>
      <c r="I11" s="7" t="n">
        <v>3</v>
      </c>
      <c r="J11" s="7" t="n">
        <v>25.4</v>
      </c>
      <c r="K11" s="7" t="n">
        <v>64.9</v>
      </c>
      <c r="L11" s="7" t="n">
        <v>0</v>
      </c>
      <c r="M11" s="7" t="n">
        <v>67</v>
      </c>
      <c r="N11" s="7" t="n">
        <v>27</v>
      </c>
      <c r="O11" s="7" t="s">
        <v>21</v>
      </c>
      <c r="P11" s="7" t="s">
        <v>28</v>
      </c>
    </row>
    <row r="12" customFormat="false" ht="15" hidden="false" customHeight="true" outlineLevel="0" collapsed="false">
      <c r="A12" s="7" t="n">
        <f aca="false">IF(C12="","",ROW()-3)</f>
        <v>9</v>
      </c>
      <c r="B12" s="7" t="s">
        <v>18</v>
      </c>
      <c r="C12" s="7" t="s">
        <v>29</v>
      </c>
      <c r="D12" s="7" t="n">
        <v>0</v>
      </c>
      <c r="E12" s="7" t="n">
        <v>26.2</v>
      </c>
      <c r="F12" s="7" t="n">
        <v>50.9</v>
      </c>
      <c r="G12" s="7" t="n">
        <v>0</v>
      </c>
      <c r="H12" s="7" t="s">
        <v>20</v>
      </c>
      <c r="I12" s="7" t="n">
        <v>0</v>
      </c>
      <c r="J12" s="7" t="n">
        <v>26.2</v>
      </c>
      <c r="K12" s="7" t="n">
        <v>66.9</v>
      </c>
      <c r="L12" s="7" t="n">
        <v>0</v>
      </c>
      <c r="M12" s="7" t="n">
        <v>70</v>
      </c>
      <c r="N12" s="7" t="n">
        <v>34</v>
      </c>
      <c r="O12" s="7" t="s">
        <v>21</v>
      </c>
      <c r="P12" s="7"/>
    </row>
    <row r="13" customFormat="false" ht="15" hidden="false" customHeight="true" outlineLevel="0" collapsed="false">
      <c r="A13" s="7" t="n">
        <f aca="false">IF(C13="","",ROW()-3)</f>
        <v>10</v>
      </c>
      <c r="B13" s="7" t="s">
        <v>18</v>
      </c>
      <c r="C13" s="7" t="s">
        <v>29</v>
      </c>
      <c r="D13" s="7" t="n">
        <v>0</v>
      </c>
      <c r="E13" s="7" t="n">
        <v>28.2</v>
      </c>
      <c r="F13" s="7" t="n">
        <v>54.6</v>
      </c>
      <c r="G13" s="7" t="n">
        <v>0</v>
      </c>
      <c r="H13" s="7" t="s">
        <v>20</v>
      </c>
      <c r="I13" s="7" t="n">
        <v>0</v>
      </c>
      <c r="J13" s="7" t="n">
        <v>28.2</v>
      </c>
      <c r="K13" s="7" t="n">
        <v>72.2</v>
      </c>
      <c r="L13" s="7" t="n">
        <v>0</v>
      </c>
      <c r="M13" s="7" t="n">
        <v>74</v>
      </c>
      <c r="N13" s="7" t="n">
        <v>34</v>
      </c>
      <c r="O13" s="7" t="s">
        <v>21</v>
      </c>
      <c r="P13" s="7"/>
    </row>
    <row r="14" customFormat="false" ht="15" hidden="false" customHeight="true" outlineLevel="0" collapsed="false">
      <c r="A14" s="7" t="str">
        <f aca="false">IF(C14="","",ROW()-3)</f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true" outlineLevel="0" collapsed="false">
      <c r="A15" s="7" t="str">
        <f aca="false">IF(C15="","",ROW()-3)</f>
        <v/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true" outlineLevel="0" collapsed="false">
      <c r="A16" s="7" t="str">
        <f aca="false">IF(C16="","",ROW()-3)</f>
        <v/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true" outlineLevel="0" collapsed="false">
      <c r="A17" s="7" t="str">
        <f aca="false">IF(C17="","",ROW()-3)</f>
        <v/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customFormat="false" ht="15" hidden="false" customHeight="true" outlineLevel="0" collapsed="false">
      <c r="A18" s="7" t="str">
        <f aca="false">IF(C18="","",ROW()-3)</f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true" outlineLevel="0" collapsed="false">
      <c r="A19" s="7" t="str">
        <f aca="false">IF(C19="","",ROW()-3)</f>
        <v/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customFormat="false" ht="15" hidden="false" customHeight="true" outlineLevel="0" collapsed="false">
      <c r="A20" s="7" t="str">
        <f aca="false">IF(C20="","",ROW()-3)</f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true" outlineLevel="0" collapsed="false">
      <c r="A21" s="7" t="str">
        <f aca="false">IF(C21="","",ROW()-3)</f>
        <v/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customFormat="false" ht="15" hidden="false" customHeight="true" outlineLevel="0" collapsed="false">
      <c r="A22" s="7" t="str">
        <f aca="false">IF(C22="","",ROW()-3)</f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true" outlineLevel="0" collapsed="false">
      <c r="A23" s="7" t="str">
        <f aca="false">IF(C23="","",ROW()-3)</f>
        <v/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true" outlineLevel="0" collapsed="false">
      <c r="A24" s="7" t="str">
        <f aca="false">IF(C24="","",ROW()-3)</f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true" outlineLevel="0" collapsed="false">
      <c r="A25" s="7" t="str">
        <f aca="false">IF(C25="","",ROW()-3)</f>
        <v/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customFormat="false" ht="15" hidden="false" customHeight="true" outlineLevel="0" collapsed="false">
      <c r="A26" s="7" t="str">
        <f aca="false">IF(C26="","",ROW()-3)</f>
        <v/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true" outlineLevel="0" collapsed="false">
      <c r="A27" s="7" t="str">
        <f aca="false">IF(C27="","",ROW()-3)</f>
        <v/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customFormat="false" ht="15" hidden="false" customHeight="true" outlineLevel="0" collapsed="false">
      <c r="A28" s="7" t="str">
        <f aca="false">IF(C28="","",ROW()-3)</f>
        <v/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5" hidden="false" customHeight="true" outlineLevel="0" collapsed="false">
      <c r="A29" s="7" t="str">
        <f aca="false">IF(C29="","",ROW()-3)</f>
        <v/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customFormat="false" ht="15" hidden="false" customHeight="true" outlineLevel="0" collapsed="false">
      <c r="A30" s="7" t="str">
        <f aca="false">IF(C30="","",ROW()-3)</f>
        <v/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customFormat="false" ht="15" hidden="false" customHeight="true" outlineLevel="0" collapsed="false">
      <c r="A31" s="7" t="str">
        <f aca="false">IF(C31="","",ROW()-3)</f>
        <v/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true" outlineLevel="0" collapsed="false">
      <c r="A32" s="7" t="str">
        <f aca="false">IF(C32="","",ROW()-3)</f>
        <v/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customFormat="false" ht="15" hidden="false" customHeight="true" outlineLevel="0" collapsed="false">
      <c r="A33" s="7" t="str">
        <f aca="false">IF(C33="","",ROW()-3)</f>
        <v/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true" outlineLevel="0" collapsed="false">
      <c r="A34" s="7" t="str">
        <f aca="false">IF(C34="","",ROW()-3)</f>
        <v/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customFormat="false" ht="15" hidden="false" customHeight="true" outlineLevel="0" collapsed="false">
      <c r="A35" s="7" t="str">
        <f aca="false">IF(C35="","",ROW()-3)</f>
        <v/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customFormat="false" ht="15" hidden="false" customHeight="true" outlineLevel="0" collapsed="false">
      <c r="A36" s="7" t="str">
        <f aca="false">IF(C36="","",ROW()-3)</f>
        <v/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customFormat="false" ht="15" hidden="false" customHeight="true" outlineLevel="0" collapsed="false">
      <c r="A37" s="7" t="str">
        <f aca="false">IF(C37="","",ROW()-3)</f>
        <v/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customFormat="false" ht="15" hidden="false" customHeight="true" outlineLevel="0" collapsed="false">
      <c r="A38" s="7" t="str">
        <f aca="false">IF(C38="","",ROW()-3)</f>
        <v/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customFormat="false" ht="15" hidden="false" customHeight="true" outlineLevel="0" collapsed="false">
      <c r="A39" s="7" t="str">
        <f aca="false">IF(C39="","",ROW()-3)</f>
        <v/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customFormat="false" ht="15" hidden="false" customHeight="true" outlineLevel="0" collapsed="false">
      <c r="A40" s="7" t="str">
        <f aca="false">IF(C40="","",ROW()-3)</f>
        <v/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customFormat="false" ht="15" hidden="false" customHeight="true" outlineLevel="0" collapsed="false">
      <c r="A41" s="7" t="str">
        <f aca="false">IF(C41="","",ROW()-3)</f>
        <v/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customFormat="false" ht="15" hidden="false" customHeight="true" outlineLevel="0" collapsed="false">
      <c r="A42" s="7" t="str">
        <f aca="false">IF(C42="","",ROW()-3)</f>
        <v/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customFormat="false" ht="15" hidden="false" customHeight="true" outlineLevel="0" collapsed="false">
      <c r="A43" s="7" t="str">
        <f aca="false">IF(C43="","",ROW()-3)</f>
        <v/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true" outlineLevel="0" collapsed="false">
      <c r="A44" s="7" t="str">
        <f aca="false">IF(C44="","",ROW()-3)</f>
        <v/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customFormat="false" ht="15" hidden="false" customHeight="true" outlineLevel="0" collapsed="false">
      <c r="A45" s="7" t="str">
        <f aca="false">IF(C45="","",ROW()-3)</f>
        <v/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</cols>
  <sheetData>
    <row r="1" customFormat="false" ht="19.5" hidden="false" customHeight="true" outlineLevel="0" collapsed="false">
      <c r="A1" s="2" t="s">
        <v>30</v>
      </c>
      <c r="B1" s="2"/>
      <c r="C1" s="2"/>
      <c r="D1" s="2"/>
    </row>
    <row r="2" customFormat="false" ht="15" hidden="false" customHeight="true" outlineLevel="0" collapsed="false">
      <c r="A2" s="8" t="s">
        <v>31</v>
      </c>
      <c r="B2" s="8"/>
      <c r="C2" s="8"/>
      <c r="D2" s="8"/>
    </row>
    <row r="3" customFormat="false" ht="15" hidden="false" customHeight="true" outlineLevel="0" collapsed="false">
      <c r="A3" s="9" t="s">
        <v>32</v>
      </c>
      <c r="B3" s="9" t="s">
        <v>33</v>
      </c>
    </row>
    <row r="4" customFormat="false" ht="15" hidden="false" customHeight="true" outlineLevel="0" collapsed="false">
      <c r="A4" s="10" t="s">
        <v>34</v>
      </c>
      <c r="B4" s="11" t="n">
        <f aca="false">COUNT('Playtest Log'!$A$4:$A$45)</f>
        <v>10</v>
      </c>
    </row>
    <row r="5" customFormat="false" ht="15" hidden="false" customHeight="true" outlineLevel="0" collapsed="false">
      <c r="A5" s="10" t="s">
        <v>35</v>
      </c>
      <c r="B5" s="11" t="n">
        <f aca="false">COUNTIF('Playtest Log'!$C$4:$C$45,"You")</f>
        <v>4</v>
      </c>
    </row>
    <row r="6" customFormat="false" ht="15" hidden="false" customHeight="true" outlineLevel="0" collapsed="false">
      <c r="A6" s="10" t="s">
        <v>36</v>
      </c>
      <c r="B6" s="11" t="n">
        <f aca="false">COUNTIF('Playtest Log'!$C$4:$C$45,"AI")</f>
        <v>4</v>
      </c>
    </row>
    <row r="7" customFormat="false" ht="15" hidden="false" customHeight="true" outlineLevel="0" collapsed="false">
      <c r="A7" s="10" t="s">
        <v>37</v>
      </c>
      <c r="B7" s="11" t="n">
        <f aca="false">COUNTIF('Playtest Log'!$C$4:$C$45,"Tie")</f>
        <v>2</v>
      </c>
    </row>
    <row r="8" customFormat="false" ht="15" hidden="false" customHeight="true" outlineLevel="0" collapsed="false">
      <c r="A8" s="10" t="s">
        <v>38</v>
      </c>
      <c r="B8" s="11" t="n">
        <f aca="false">IFERROR(AVERAGEIF('Playtest Log'!$A$4:$A$45,"&lt;&gt;",'Playtest Log'!$D$4:$D$45),"")</f>
        <v>0.5</v>
      </c>
    </row>
    <row r="9" customFormat="false" ht="15" hidden="false" customHeight="true" outlineLevel="0" collapsed="false">
      <c r="A9" s="10" t="s">
        <v>39</v>
      </c>
      <c r="B9" s="11" t="n">
        <f aca="false">IFERROR(AVERAGEIF('Playtest Log'!$A$4:$A$45,"&lt;&gt;",'Playtest Log'!$I$4:$I$45),"")</f>
        <v>1</v>
      </c>
    </row>
    <row r="10" customFormat="false" ht="15" hidden="false" customHeight="true" outlineLevel="0" collapsed="false">
      <c r="A10" s="10" t="s">
        <v>40</v>
      </c>
      <c r="B10" s="11" t="n">
        <f aca="false">IFERROR(AVERAGEIF('Playtest Log'!$A$4:$A$45,"&lt;&gt;",'Playtest Log'!$E$4:$E$45),"")</f>
        <v>26.54</v>
      </c>
    </row>
    <row r="11" customFormat="false" ht="15" hidden="false" customHeight="true" outlineLevel="0" collapsed="false">
      <c r="A11" s="10" t="s">
        <v>41</v>
      </c>
      <c r="B11" s="11" t="n">
        <f aca="false">IFERROR(AVERAGEIF('Playtest Log'!$A$4:$A$45,"&lt;&gt;",'Playtest Log'!$J$4:$J$45),"")</f>
        <v>25.77</v>
      </c>
    </row>
    <row r="12" customFormat="false" ht="15" hidden="false" customHeight="true" outlineLevel="0" collapsed="false">
      <c r="A12" s="10" t="s">
        <v>42</v>
      </c>
      <c r="B12" s="11" t="n">
        <f aca="false">IFERROR(AVERAGEIF('Playtest Log'!$A$4:$A$45,"&lt;&gt;",'Playtest Log'!$F$4:$F$45),"")</f>
        <v>54.2</v>
      </c>
    </row>
    <row r="13" customFormat="false" ht="15" hidden="false" customHeight="true" outlineLevel="0" collapsed="false">
      <c r="A13" s="10" t="s">
        <v>43</v>
      </c>
      <c r="B13" s="11" t="n">
        <f aca="false">IFERROR(AVERAGEIF('Playtest Log'!$A$4:$A$45,"&lt;&gt;",'Playtest Log'!$K$4:$K$45),"")</f>
        <v>65.08</v>
      </c>
    </row>
    <row r="14" customFormat="false" ht="15" hidden="false" customHeight="true" outlineLevel="0" collapsed="false">
      <c r="A14" s="10" t="s">
        <v>44</v>
      </c>
      <c r="B14" s="11" t="n">
        <f aca="false">IFERROR(AVERAGEIF('Playtest Log'!$A$4:$A$45,"&lt;&gt;",'Playtest Log'!$G$4:$G$45),"")</f>
        <v>9.5</v>
      </c>
    </row>
    <row r="15" customFormat="false" ht="15" hidden="false" customHeight="true" outlineLevel="0" collapsed="false">
      <c r="A15" s="10" t="s">
        <v>45</v>
      </c>
      <c r="B15" s="11" t="n">
        <f aca="false">IFERROR(AVERAGEIF('Playtest Log'!$A$4:$A$45,"&lt;&gt;",'Playtest Log'!$L$4:$L$45),"")</f>
        <v>12.5</v>
      </c>
    </row>
    <row r="16" customFormat="false" ht="15" hidden="false" customHeight="true" outlineLevel="0" collapsed="false">
      <c r="A16" s="10" t="s">
        <v>46</v>
      </c>
      <c r="B16" s="11" t="n">
        <f aca="false">IFERROR(AVERAGEIF('Playtest Log'!$A$4:$A$45,"&lt;&gt;",'Playtest Log'!$M$4:$M$45),"")</f>
        <v>67.1</v>
      </c>
    </row>
    <row r="17" customFormat="false" ht="15" hidden="false" customHeight="true" outlineLevel="0" collapsed="false">
      <c r="A17" s="10" t="s">
        <v>47</v>
      </c>
      <c r="B17" s="11" t="n">
        <f aca="false">IFERROR(AVERAGEIF('Playtest Log'!$A$4:$A$45,"&lt;&gt;",'Playtest Log'!$N$4:$N$45),"")</f>
        <v>31.3</v>
      </c>
    </row>
    <row r="18" customFormat="false" ht="15" hidden="false" customHeight="true" outlineLevel="0" collapsed="false">
      <c r="A18" s="10" t="s">
        <v>48</v>
      </c>
      <c r="B18" s="11" t="n">
        <f aca="false">COUNTIF('Playtest Log'!$O$4:$O$45,"dead")</f>
        <v>1</v>
      </c>
    </row>
    <row r="19" customFormat="false" ht="15" hidden="false" customHeight="true" outlineLevel="0" collapsed="false">
      <c r="A19" s="10" t="s">
        <v>49</v>
      </c>
      <c r="B19" s="11" t="n">
        <f aca="false">COUNTIF('Playtest Log'!$H$4:$H$45,"dead")</f>
        <v>0</v>
      </c>
    </row>
    <row r="22" customFormat="false" ht="15" hidden="false" customHeight="true" outlineLevel="0" collapsed="false">
      <c r="A22" s="12" t="s">
        <v>50</v>
      </c>
      <c r="B22" s="12"/>
      <c r="C22" s="12"/>
      <c r="D22" s="12"/>
      <c r="E22" s="12"/>
      <c r="F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</row>
  </sheetData>
  <mergeCells count="3">
    <mergeCell ref="A1:D1"/>
    <mergeCell ref="A2:D2"/>
    <mergeCell ref="A22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2026-08-30T10:07:48Z</dcterms:created>
  <dc:creator>openpyxl</dc:creator>
  <dc:description/>
  <dc:language>en-US</dc:language>
  <cp:lastModifiedBy/>
  <dcterms:modified xsi:type="dcterms:W3CDTF">2026-08-30T10:36:15Z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